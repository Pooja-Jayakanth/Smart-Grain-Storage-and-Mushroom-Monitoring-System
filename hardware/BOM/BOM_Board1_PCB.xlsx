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7FFA65C-36E7-464C-B23A-9D9C6631C987}" xr6:coauthVersionLast="47" xr6:coauthVersionMax="47" xr10:uidLastSave="{00000000-0000-0000-0000-000000000000}"/>
  <bookViews>
    <workbookView xWindow="600" yWindow="-120" windowWidth="28320" windowHeight="16440" xr2:uid="{00000000-000D-0000-FFFF-FFFF00000000}"/>
  </bookViews>
  <sheets>
    <sheet name="BOM_Board1_PCB1_2026-10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6" i="1"/>
  <c r="H14" i="1"/>
  <c r="H3" i="1"/>
  <c r="H4" i="1"/>
  <c r="H5" i="1"/>
  <c r="H6" i="1"/>
  <c r="H7" i="1"/>
  <c r="H8" i="1"/>
  <c r="H9" i="1"/>
  <c r="H10" i="1"/>
  <c r="H11" i="1"/>
  <c r="H12" i="1"/>
  <c r="H13" i="1"/>
  <c r="H2" i="1"/>
  <c r="H17" i="1" l="1"/>
</calcChain>
</file>

<file path=xl/sharedStrings.xml><?xml version="1.0" encoding="utf-8"?>
<sst xmlns="http://schemas.openxmlformats.org/spreadsheetml/2006/main" count="82" uniqueCount="67">
  <si>
    <t>No.</t>
  </si>
  <si>
    <t>Quantity</t>
  </si>
  <si>
    <t>Comment</t>
  </si>
  <si>
    <t>Designator</t>
  </si>
  <si>
    <t>Footprint</t>
  </si>
  <si>
    <t>Value</t>
  </si>
  <si>
    <t>1</t>
  </si>
  <si>
    <t>10uF</t>
  </si>
  <si>
    <t>C1,C2</t>
  </si>
  <si>
    <t>CAP-TH_BD5.0-P2.00-D0.5-FD_H11.0</t>
  </si>
  <si>
    <t/>
  </si>
  <si>
    <t>2</t>
  </si>
  <si>
    <t>100nF</t>
  </si>
  <si>
    <t>C3</t>
  </si>
  <si>
    <t>CAP-TH_L6.5-W4.0-P5.00-D0.5-LS3.50</t>
  </si>
  <si>
    <t>3</t>
  </si>
  <si>
    <t>HC-EH2.54-4A-TW</t>
  </si>
  <si>
    <t>CN4</t>
  </si>
  <si>
    <t>CONN-TH_4P-P2.50_HC-EH2.54-4A-TW</t>
  </si>
  <si>
    <t>4</t>
  </si>
  <si>
    <t>JST-PH-2-SMT-RA</t>
  </si>
  <si>
    <t>CN5</t>
  </si>
  <si>
    <t>CONN-SMD_JST-PH-2-SMT-RA</t>
  </si>
  <si>
    <t>5</t>
  </si>
  <si>
    <t>2.54x2.5 1x5P PA6.0 PC3.0 L11.6</t>
  </si>
  <si>
    <t>H2</t>
  </si>
  <si>
    <t>HDR-TH_5P-P2.54-V-M-3</t>
  </si>
  <si>
    <t>6</t>
  </si>
  <si>
    <t>IRLZ44PBF-VB</t>
  </si>
  <si>
    <t>Q1</t>
  </si>
  <si>
    <t>TO-220AB-3_L10.4-W4.6-P2.54-L</t>
  </si>
  <si>
    <t>7</t>
  </si>
  <si>
    <t>10kΩ</t>
  </si>
  <si>
    <t>R2,R4,R5,R6,R7,R8,R9</t>
  </si>
  <si>
    <t>RES-TH_BD4.5-L11.5-P15.50-D0.8</t>
  </si>
  <si>
    <t>8</t>
  </si>
  <si>
    <t>100Ω</t>
  </si>
  <si>
    <t>R3</t>
  </si>
  <si>
    <t>9</t>
  </si>
  <si>
    <t>4.5x4.5x3.8Waterproof Tact Switch DIP 260g</t>
  </si>
  <si>
    <t>SW3,SW4</t>
  </si>
  <si>
    <t>SW-TH_4P-L4.5-W4.5-P3.00-LS5.4</t>
  </si>
  <si>
    <t>10</t>
  </si>
  <si>
    <t>2.4GHz</t>
  </si>
  <si>
    <t>U1</t>
  </si>
  <si>
    <t>WIRELM-SMD_ESP-12F</t>
  </si>
  <si>
    <t>11</t>
  </si>
  <si>
    <t>Jumper2</t>
  </si>
  <si>
    <t>U5</t>
  </si>
  <si>
    <t>HDR-TH_2P-P2.54-V-M-1</t>
  </si>
  <si>
    <t>12</t>
  </si>
  <si>
    <t>AMS1117-3.3</t>
  </si>
  <si>
    <t>U7</t>
  </si>
  <si>
    <t>SOT-223-3_L6.5-W3.4-P2.30-LS7.0-BR</t>
  </si>
  <si>
    <t>Unit Price (LKR)</t>
  </si>
  <si>
    <t>Total Price (LKR)</t>
  </si>
  <si>
    <t>NTC2.5D-9SMFSOE</t>
  </si>
  <si>
    <t>R1</t>
  </si>
  <si>
    <t>RES-TH_L11.0-W5.5-P5.00-D0.6-S2.80</t>
  </si>
  <si>
    <t>DHT11</t>
  </si>
  <si>
    <t>U2</t>
  </si>
  <si>
    <t>SENSOR-TH_DHT11</t>
  </si>
  <si>
    <t>13</t>
  </si>
  <si>
    <t>14</t>
  </si>
  <si>
    <t>Buzzer</t>
  </si>
  <si>
    <t>U8</t>
  </si>
  <si>
    <t>HX-2212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</si>
</sst>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2" borderId="0" xfId="1"/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A2" zoomScaleNormal="85" workbookViewId="0">
      <selection activeCell="H17" sqref="H17"/>
    </sheetView>
  </sheetViews>
  <sheetFormatPr defaultRowHeight="15" x14ac:dyDescent="0.25"/>
  <cols>
    <col min="1" max="4" width="20" customWidth="1"/>
    <col min="5" max="5" width="36.85546875" customWidth="1"/>
    <col min="6" max="10" width="20" customWidth="1"/>
    <col min="11" max="11" width="20" style="1" customWidth="1"/>
    <col min="12" max="12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</row>
    <row r="2" spans="1:13" x14ac:dyDescent="0.25">
      <c r="A2" t="s">
        <v>6</v>
      </c>
      <c r="B2">
        <v>2</v>
      </c>
      <c r="C2" t="s">
        <v>7</v>
      </c>
      <c r="D2" t="s">
        <v>8</v>
      </c>
      <c r="E2" t="s">
        <v>9</v>
      </c>
      <c r="F2" t="s">
        <v>7</v>
      </c>
      <c r="G2">
        <v>5</v>
      </c>
      <c r="H2">
        <f>G2*B2</f>
        <v>10</v>
      </c>
      <c r="M2" s="1"/>
    </row>
    <row r="3" spans="1:13" x14ac:dyDescent="0.25">
      <c r="A3" t="s">
        <v>11</v>
      </c>
      <c r="B3">
        <v>1</v>
      </c>
      <c r="C3" t="s">
        <v>12</v>
      </c>
      <c r="D3" t="s">
        <v>13</v>
      </c>
      <c r="E3" t="s">
        <v>14</v>
      </c>
      <c r="F3" t="s">
        <v>12</v>
      </c>
      <c r="G3">
        <v>2</v>
      </c>
      <c r="H3">
        <f t="shared" ref="H3:H16" si="0">G3*B3</f>
        <v>2</v>
      </c>
      <c r="M3" s="1"/>
    </row>
    <row r="4" spans="1:13" x14ac:dyDescent="0.25">
      <c r="A4" t="s">
        <v>15</v>
      </c>
      <c r="B4">
        <v>1</v>
      </c>
      <c r="C4" t="s">
        <v>16</v>
      </c>
      <c r="D4" t="s">
        <v>17</v>
      </c>
      <c r="E4" t="s">
        <v>18</v>
      </c>
      <c r="F4" t="s">
        <v>10</v>
      </c>
      <c r="G4">
        <v>40</v>
      </c>
      <c r="H4">
        <f t="shared" si="0"/>
        <v>40</v>
      </c>
      <c r="M4" s="1"/>
    </row>
    <row r="5" spans="1:13" x14ac:dyDescent="0.25">
      <c r="A5" t="s">
        <v>19</v>
      </c>
      <c r="B5">
        <v>1</v>
      </c>
      <c r="C5" t="s">
        <v>20</v>
      </c>
      <c r="D5" t="s">
        <v>21</v>
      </c>
      <c r="E5" t="s">
        <v>22</v>
      </c>
      <c r="F5" t="s">
        <v>10</v>
      </c>
      <c r="G5">
        <v>20</v>
      </c>
      <c r="H5">
        <f t="shared" si="0"/>
        <v>20</v>
      </c>
      <c r="M5" s="1"/>
    </row>
    <row r="6" spans="1:13" x14ac:dyDescent="0.25">
      <c r="A6" t="s">
        <v>23</v>
      </c>
      <c r="B6">
        <v>2</v>
      </c>
      <c r="C6" t="s">
        <v>24</v>
      </c>
      <c r="D6" t="s">
        <v>25</v>
      </c>
      <c r="E6" t="s">
        <v>26</v>
      </c>
      <c r="F6" t="s">
        <v>10</v>
      </c>
      <c r="G6">
        <v>6</v>
      </c>
      <c r="H6">
        <f t="shared" si="0"/>
        <v>12</v>
      </c>
      <c r="M6" s="1"/>
    </row>
    <row r="7" spans="1:13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10</v>
      </c>
      <c r="G7">
        <v>95</v>
      </c>
      <c r="H7">
        <f t="shared" si="0"/>
        <v>95</v>
      </c>
      <c r="M7" s="1"/>
    </row>
    <row r="8" spans="1:13" x14ac:dyDescent="0.25">
      <c r="A8" t="s">
        <v>31</v>
      </c>
      <c r="B8">
        <v>7</v>
      </c>
      <c r="C8" t="s">
        <v>32</v>
      </c>
      <c r="D8" t="s">
        <v>33</v>
      </c>
      <c r="E8" t="s">
        <v>34</v>
      </c>
      <c r="F8" t="s">
        <v>32</v>
      </c>
      <c r="G8">
        <v>1.5</v>
      </c>
      <c r="H8">
        <f t="shared" si="0"/>
        <v>10.5</v>
      </c>
      <c r="M8" s="1"/>
    </row>
    <row r="9" spans="1:13" x14ac:dyDescent="0.25">
      <c r="A9" t="s">
        <v>35</v>
      </c>
      <c r="B9">
        <v>1</v>
      </c>
      <c r="C9" t="s">
        <v>36</v>
      </c>
      <c r="D9" t="s">
        <v>37</v>
      </c>
      <c r="E9" t="s">
        <v>34</v>
      </c>
      <c r="F9" t="s">
        <v>36</v>
      </c>
      <c r="G9">
        <v>1.5</v>
      </c>
      <c r="H9">
        <f t="shared" si="0"/>
        <v>1.5</v>
      </c>
      <c r="M9" s="1"/>
    </row>
    <row r="10" spans="1:13" x14ac:dyDescent="0.25">
      <c r="A10" t="s">
        <v>38</v>
      </c>
      <c r="B10">
        <v>2</v>
      </c>
      <c r="C10" t="s">
        <v>39</v>
      </c>
      <c r="D10" t="s">
        <v>40</v>
      </c>
      <c r="E10" t="s">
        <v>41</v>
      </c>
      <c r="F10" t="s">
        <v>10</v>
      </c>
      <c r="G10">
        <v>18</v>
      </c>
      <c r="H10">
        <f t="shared" si="0"/>
        <v>36</v>
      </c>
      <c r="M10" s="1"/>
    </row>
    <row r="11" spans="1:13" x14ac:dyDescent="0.25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43</v>
      </c>
      <c r="G11">
        <v>660</v>
      </c>
      <c r="H11">
        <f t="shared" si="0"/>
        <v>660</v>
      </c>
      <c r="M11" s="1"/>
    </row>
    <row r="12" spans="1:13" x14ac:dyDescent="0.25">
      <c r="A12" t="s">
        <v>46</v>
      </c>
      <c r="B12">
        <v>1</v>
      </c>
      <c r="C12" t="s">
        <v>47</v>
      </c>
      <c r="D12" t="s">
        <v>48</v>
      </c>
      <c r="E12" t="s">
        <v>49</v>
      </c>
      <c r="F12" t="s">
        <v>10</v>
      </c>
      <c r="G12">
        <v>5</v>
      </c>
      <c r="H12">
        <f t="shared" si="0"/>
        <v>5</v>
      </c>
      <c r="M12" s="1"/>
    </row>
    <row r="13" spans="1:13" x14ac:dyDescent="0.25">
      <c r="A13" t="s">
        <v>50</v>
      </c>
      <c r="B13">
        <v>1</v>
      </c>
      <c r="C13" t="s">
        <v>51</v>
      </c>
      <c r="D13" t="s">
        <v>52</v>
      </c>
      <c r="E13" t="s">
        <v>53</v>
      </c>
      <c r="F13" t="s">
        <v>10</v>
      </c>
      <c r="G13">
        <v>20</v>
      </c>
      <c r="H13">
        <f t="shared" si="0"/>
        <v>20</v>
      </c>
      <c r="M13" s="1"/>
    </row>
    <row r="14" spans="1:13" x14ac:dyDescent="0.25">
      <c r="A14" s="2" t="s">
        <v>62</v>
      </c>
      <c r="B14">
        <v>1</v>
      </c>
      <c r="C14" t="s">
        <v>56</v>
      </c>
      <c r="D14" t="s">
        <v>57</v>
      </c>
      <c r="E14" t="s">
        <v>58</v>
      </c>
      <c r="F14" t="s">
        <v>32</v>
      </c>
      <c r="G14">
        <v>60</v>
      </c>
      <c r="H14">
        <f t="shared" si="0"/>
        <v>60</v>
      </c>
    </row>
    <row r="15" spans="1:13" x14ac:dyDescent="0.25">
      <c r="A15" s="2" t="s">
        <v>63</v>
      </c>
      <c r="B15">
        <v>1</v>
      </c>
      <c r="C15" t="s">
        <v>64</v>
      </c>
      <c r="D15" t="s">
        <v>65</v>
      </c>
      <c r="E15" t="s">
        <v>66</v>
      </c>
      <c r="G15">
        <v>55</v>
      </c>
      <c r="H15">
        <f t="shared" si="0"/>
        <v>55</v>
      </c>
    </row>
    <row r="16" spans="1:13" x14ac:dyDescent="0.25">
      <c r="A16" s="2" t="s">
        <v>63</v>
      </c>
      <c r="B16">
        <v>1</v>
      </c>
      <c r="C16" t="s">
        <v>59</v>
      </c>
      <c r="D16" t="s">
        <v>60</v>
      </c>
      <c r="E16" t="s">
        <v>61</v>
      </c>
      <c r="F16" t="s">
        <v>10</v>
      </c>
      <c r="G16">
        <v>230</v>
      </c>
      <c r="H16">
        <f t="shared" si="0"/>
        <v>230</v>
      </c>
    </row>
    <row r="17" spans="8:8" x14ac:dyDescent="0.25">
      <c r="H17" s="3">
        <f>SUM(H4:H16)</f>
        <v>1245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BOM_Board1_PCB1_2026-10-04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2026-10-04T06:01:40Z</dcterms:created>
  <dcterms:modified xsi:type="dcterms:W3CDTF">2026-10-04T07:36:55Z</dcterms:modified>
  <cp:category/>
</cp:coreProperties>
</file>